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tudent-011\Documents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uri="GoogleSheetsCustomDataVersion2">
      <go:sheetsCustomData xmlns:go="http://customooxmlschemas.google.com/" r:id="rId5" roundtripDataChecksum="zRNhtUOvYTR9HnHuKG9i839HjxJjc409SrTdciTJqXU="/>
    </ext>
  </extLst>
</workbook>
</file>

<file path=xl/calcChain.xml><?xml version="1.0" encoding="utf-8"?>
<calcChain xmlns="http://schemas.openxmlformats.org/spreadsheetml/2006/main">
  <c r="H29" i="1" l="1"/>
  <c r="F29" i="1"/>
  <c r="H28" i="1" l="1"/>
  <c r="H27" i="1"/>
  <c r="H26" i="1"/>
  <c r="H25" i="1"/>
  <c r="M24" i="1"/>
  <c r="H24" i="1"/>
  <c r="H23" i="1"/>
  <c r="H22" i="1"/>
  <c r="H21" i="1"/>
  <c r="H20" i="1"/>
  <c r="M19" i="1"/>
  <c r="H19" i="1"/>
  <c r="H18" i="1"/>
  <c r="H17" i="1"/>
  <c r="H16" i="1"/>
  <c r="M14" i="1" s="1"/>
  <c r="H15" i="1"/>
  <c r="H14" i="1"/>
  <c r="H13" i="1"/>
  <c r="H12" i="1"/>
  <c r="H11" i="1"/>
  <c r="M9" i="1" s="1"/>
  <c r="H10" i="1"/>
  <c r="H9" i="1"/>
  <c r="H8" i="1"/>
  <c r="H7" i="1"/>
  <c r="H6" i="1"/>
  <c r="M4" i="1" s="1"/>
  <c r="H5" i="1"/>
  <c r="H4" i="1"/>
</calcChain>
</file>

<file path=xl/sharedStrings.xml><?xml version="1.0" encoding="utf-8"?>
<sst xmlns="http://schemas.openxmlformats.org/spreadsheetml/2006/main" count="82" uniqueCount="45">
  <si>
    <t xml:space="preserve">Challan and Deductee Details </t>
  </si>
  <si>
    <t>Date</t>
  </si>
  <si>
    <t>Particulars</t>
  </si>
  <si>
    <t>PAN No.</t>
  </si>
  <si>
    <t>Nature of Services</t>
  </si>
  <si>
    <t xml:space="preserve">Taxable value </t>
  </si>
  <si>
    <t>TDS rate</t>
  </si>
  <si>
    <t>TDS</t>
  </si>
  <si>
    <t>Challan Date</t>
  </si>
  <si>
    <t>Challan no.</t>
  </si>
  <si>
    <t>BSR code</t>
  </si>
  <si>
    <t>Section code</t>
  </si>
  <si>
    <t>Challan Amount</t>
  </si>
  <si>
    <t>Madhu Mohan</t>
  </si>
  <si>
    <t>HBVPT2157O</t>
  </si>
  <si>
    <t>Catering contract</t>
  </si>
  <si>
    <t>Moheena Catering Services Ltd.</t>
  </si>
  <si>
    <t>NBECE5150Q</t>
  </si>
  <si>
    <t>Nasar Housekeepers</t>
  </si>
  <si>
    <t>EQWFB4853W</t>
  </si>
  <si>
    <t>29/10/2023</t>
  </si>
  <si>
    <t>Meghna Cleaning Services Ltd.</t>
  </si>
  <si>
    <t>MZWCW5484Q</t>
  </si>
  <si>
    <t>30/10/2023</t>
  </si>
  <si>
    <t>Ashish Verma</t>
  </si>
  <si>
    <t>EDAPE0452N</t>
  </si>
  <si>
    <t>Construction contract</t>
  </si>
  <si>
    <t>Qureshi Cleansing Agency</t>
  </si>
  <si>
    <t>CBWFG0583S</t>
  </si>
  <si>
    <t>Shivansh Technologies</t>
  </si>
  <si>
    <t>BCYFN2483P</t>
  </si>
  <si>
    <t>Technical services</t>
  </si>
  <si>
    <t>Kokila Sisters &amp; Firm</t>
  </si>
  <si>
    <t>MEIFV1561H</t>
  </si>
  <si>
    <t>Professional services</t>
  </si>
  <si>
    <t>Anju Legal Services</t>
  </si>
  <si>
    <t>SYEFB1570E</t>
  </si>
  <si>
    <t>Sagar Associates</t>
  </si>
  <si>
    <t>DVGFB5823D</t>
  </si>
  <si>
    <t>Parekh Info Ltd.</t>
  </si>
  <si>
    <t>BHJCE5654J</t>
  </si>
  <si>
    <t>26587</t>
  </si>
  <si>
    <t>94C</t>
  </si>
  <si>
    <t>94J</t>
  </si>
  <si>
    <t>Housekeeping services Contract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</si>
</sst>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&quot;/&quot;m&quot;/&quot;yyyy"/>
  </numFmts>
  <fonts count="6">
    <font>
      <sz val="11"/>
      <color theme="1"/>
      <name val="Mangal"/>
      <scheme val="minor"/>
    </font>
    <font>
      <b/>
      <u/>
      <sz val="20"/>
      <color theme="1"/>
      <name val="Times New Roman&quot;"/>
    </font>
    <font>
      <sz val="11"/>
      <color theme="1"/>
      <name val="Times New Roman&quot;"/>
    </font>
    <font>
      <b/>
      <sz val="14"/>
      <color theme="1"/>
      <name val="Times New Roman&quot;"/>
    </font>
    <font>
      <sz val="14"/>
      <color theme="1"/>
      <name val="Times New Roman&quot;"/>
    </font>
    <font>
      <sz val="11"/>
      <name val="Times New Roman&quot;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2" fillId="0" borderId="1" xfId="0" applyFont="1" applyBorder="1"/>
    <xf numFmtId="49" fontId="3" fillId="0" borderId="2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4" fontId="4" fillId="0" borderId="4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3" fontId="4" fillId="0" borderId="4" xfId="0" applyNumberFormat="1" applyFont="1" applyBorder="1" applyAlignment="1">
      <alignment vertical="center" wrapText="1"/>
    </xf>
    <xf numFmtId="9" fontId="4" fillId="0" borderId="4" xfId="0" applyNumberFormat="1" applyFont="1" applyBorder="1" applyAlignment="1">
      <alignment vertical="center" wrapText="1"/>
    </xf>
    <xf numFmtId="0" fontId="4" fillId="0" borderId="4" xfId="0" applyFont="1" applyBorder="1" applyAlignment="1">
      <alignment horizontal="left" vertical="center" wrapText="1"/>
    </xf>
    <xf numFmtId="14" fontId="4" fillId="0" borderId="4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3" fontId="4" fillId="0" borderId="7" xfId="0" applyNumberFormat="1" applyFont="1" applyBorder="1" applyAlignment="1">
      <alignment horizontal="right" vertical="center" wrapText="1"/>
    </xf>
    <xf numFmtId="0" fontId="2" fillId="0" borderId="8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5" fillId="0" borderId="2" xfId="0" applyFont="1" applyBorder="1"/>
    <xf numFmtId="164" fontId="4" fillId="0" borderId="5" xfId="0" applyNumberFormat="1" applyFont="1" applyBorder="1" applyAlignment="1">
      <alignment horizontal="center" vertical="center"/>
    </xf>
    <xf numFmtId="0" fontId="5" fillId="0" borderId="6" xfId="0" applyFont="1" applyBorder="1"/>
    <xf numFmtId="9" fontId="4" fillId="0" borderId="5" xfId="0" applyNumberFormat="1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3" fontId="4" fillId="0" borderId="5" xfId="0" applyNumberFormat="1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Mangal"/>
        <a:ea typeface="Mangal"/>
        <a:cs typeface="Mangal"/>
      </a:majorFont>
      <a:minorFont>
        <a:latin typeface="Mangal"/>
        <a:ea typeface="Mangal"/>
        <a:cs typeface="Mang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M30"/>
  <sheetViews>
    <sheetView tabSelected="1" topLeftCell="A2" workbookViewId="0">
      <selection activeCell="E30" sqref="E30"/>
    </sheetView>
  </sheetViews>
  <sheetFormatPr defaultColWidth="12.58203125" defaultRowHeight="15" customHeight="1"/>
  <cols>
    <col min="1" max="2" width="12.58203125" style="1"/>
    <col min="3" max="3" width="21.4140625" style="1" customWidth="1"/>
    <col min="4" max="4" width="18.08203125" style="1" customWidth="1"/>
    <col min="5" max="5" width="15.1640625" style="1" customWidth="1"/>
    <col min="6" max="16384" width="12.58203125" style="1"/>
  </cols>
  <sheetData>
    <row r="1" spans="2:13" ht="27.65" customHeight="1">
      <c r="B1" s="24" t="s">
        <v>0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2" spans="2:13" ht="15" customHeight="1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2:13" ht="35">
      <c r="B3" s="3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5" t="s">
        <v>8</v>
      </c>
      <c r="J3" s="5" t="s">
        <v>9</v>
      </c>
      <c r="K3" s="5" t="s">
        <v>10</v>
      </c>
      <c r="L3" s="5" t="s">
        <v>11</v>
      </c>
      <c r="M3" s="5" t="s">
        <v>12</v>
      </c>
    </row>
    <row r="4" spans="2:13" ht="18">
      <c r="B4" s="6">
        <v>45226</v>
      </c>
      <c r="C4" s="7" t="s">
        <v>13</v>
      </c>
      <c r="D4" s="8" t="s">
        <v>14</v>
      </c>
      <c r="E4" s="16" t="s">
        <v>15</v>
      </c>
      <c r="F4" s="9">
        <v>45000</v>
      </c>
      <c r="G4" s="10">
        <v>0.01</v>
      </c>
      <c r="H4" s="9">
        <f>F4*1%</f>
        <v>450</v>
      </c>
      <c r="I4" s="18">
        <v>45232</v>
      </c>
      <c r="J4" s="21">
        <v>86489</v>
      </c>
      <c r="K4" s="21">
        <v>3584800</v>
      </c>
      <c r="L4" s="21" t="s">
        <v>42</v>
      </c>
      <c r="M4" s="23">
        <f>SUM(H4:H8)</f>
        <v>4460</v>
      </c>
    </row>
    <row r="5" spans="2:13" ht="36">
      <c r="B5" s="6">
        <v>45227</v>
      </c>
      <c r="C5" s="11" t="s">
        <v>16</v>
      </c>
      <c r="D5" s="8" t="s">
        <v>17</v>
      </c>
      <c r="E5" s="17"/>
      <c r="F5" s="9">
        <v>60400</v>
      </c>
      <c r="G5" s="20">
        <v>0.02</v>
      </c>
      <c r="H5" s="9">
        <f t="shared" ref="H5:H7" si="0">F5*2%</f>
        <v>1208</v>
      </c>
      <c r="I5" s="19"/>
      <c r="J5" s="19"/>
      <c r="K5" s="19"/>
      <c r="L5" s="19"/>
      <c r="M5" s="19"/>
    </row>
    <row r="6" spans="2:13" ht="18">
      <c r="B6" s="6">
        <v>45228</v>
      </c>
      <c r="C6" s="7" t="s">
        <v>18</v>
      </c>
      <c r="D6" s="8" t="s">
        <v>19</v>
      </c>
      <c r="E6" s="16" t="s">
        <v>44</v>
      </c>
      <c r="F6" s="9">
        <v>37800</v>
      </c>
      <c r="G6" s="19"/>
      <c r="H6" s="9">
        <f t="shared" si="0"/>
        <v>756</v>
      </c>
      <c r="I6" s="19"/>
      <c r="J6" s="19"/>
      <c r="K6" s="19"/>
      <c r="L6" s="19"/>
      <c r="M6" s="19"/>
    </row>
    <row r="7" spans="2:13" ht="36">
      <c r="B7" s="12" t="s">
        <v>20</v>
      </c>
      <c r="C7" s="11" t="s">
        <v>21</v>
      </c>
      <c r="D7" s="8" t="s">
        <v>22</v>
      </c>
      <c r="E7" s="19"/>
      <c r="F7" s="9">
        <v>65400</v>
      </c>
      <c r="G7" s="17"/>
      <c r="H7" s="9">
        <f t="shared" si="0"/>
        <v>1308</v>
      </c>
      <c r="I7" s="19"/>
      <c r="J7" s="19"/>
      <c r="K7" s="19"/>
      <c r="L7" s="19"/>
      <c r="M7" s="19"/>
    </row>
    <row r="8" spans="2:13" ht="18">
      <c r="B8" s="13" t="s">
        <v>23</v>
      </c>
      <c r="C8" s="11" t="s">
        <v>24</v>
      </c>
      <c r="D8" s="8" t="s">
        <v>25</v>
      </c>
      <c r="E8" s="17"/>
      <c r="F8" s="9">
        <v>73800</v>
      </c>
      <c r="G8" s="10">
        <v>0.01</v>
      </c>
      <c r="H8" s="9">
        <f t="shared" ref="H8:H9" si="1">F8*1%</f>
        <v>738</v>
      </c>
      <c r="I8" s="17"/>
      <c r="J8" s="17"/>
      <c r="K8" s="19"/>
      <c r="L8" s="19"/>
      <c r="M8" s="17"/>
    </row>
    <row r="9" spans="2:13" ht="18">
      <c r="B9" s="6">
        <v>45257</v>
      </c>
      <c r="C9" s="7" t="s">
        <v>13</v>
      </c>
      <c r="D9" s="8" t="s">
        <v>14</v>
      </c>
      <c r="E9" s="16" t="s">
        <v>26</v>
      </c>
      <c r="F9" s="9">
        <v>45000</v>
      </c>
      <c r="G9" s="10">
        <v>0.01</v>
      </c>
      <c r="H9" s="9">
        <f t="shared" si="1"/>
        <v>450</v>
      </c>
      <c r="I9" s="18">
        <v>45264</v>
      </c>
      <c r="J9" s="21">
        <v>35585</v>
      </c>
      <c r="K9" s="19"/>
      <c r="L9" s="19"/>
      <c r="M9" s="23">
        <f>SUM(H9:H13)</f>
        <v>4556</v>
      </c>
    </row>
    <row r="10" spans="2:13" ht="36">
      <c r="B10" s="6">
        <v>45258</v>
      </c>
      <c r="C10" s="11" t="s">
        <v>16</v>
      </c>
      <c r="D10" s="8" t="s">
        <v>17</v>
      </c>
      <c r="E10" s="17"/>
      <c r="F10" s="9">
        <v>60400</v>
      </c>
      <c r="G10" s="20">
        <v>0.02</v>
      </c>
      <c r="H10" s="9">
        <f t="shared" ref="H10:H12" si="2">F10*2%</f>
        <v>1208</v>
      </c>
      <c r="I10" s="19"/>
      <c r="J10" s="19"/>
      <c r="K10" s="19"/>
      <c r="L10" s="19"/>
      <c r="M10" s="19"/>
    </row>
    <row r="11" spans="2:13" ht="36">
      <c r="B11" s="6">
        <v>45259</v>
      </c>
      <c r="C11" s="7" t="s">
        <v>27</v>
      </c>
      <c r="D11" s="8" t="s">
        <v>28</v>
      </c>
      <c r="E11" s="16" t="s">
        <v>44</v>
      </c>
      <c r="F11" s="9">
        <v>42600</v>
      </c>
      <c r="G11" s="19"/>
      <c r="H11" s="9">
        <f t="shared" si="2"/>
        <v>852</v>
      </c>
      <c r="I11" s="19"/>
      <c r="J11" s="19"/>
      <c r="K11" s="19"/>
      <c r="L11" s="19"/>
      <c r="M11" s="19"/>
    </row>
    <row r="12" spans="2:13" ht="36">
      <c r="B12" s="6">
        <v>45259</v>
      </c>
      <c r="C12" s="11" t="s">
        <v>21</v>
      </c>
      <c r="D12" s="8" t="s">
        <v>22</v>
      </c>
      <c r="E12" s="19"/>
      <c r="F12" s="9">
        <v>65400</v>
      </c>
      <c r="G12" s="17"/>
      <c r="H12" s="9">
        <f t="shared" si="2"/>
        <v>1308</v>
      </c>
      <c r="I12" s="19"/>
      <c r="J12" s="19"/>
      <c r="K12" s="19"/>
      <c r="L12" s="19"/>
      <c r="M12" s="19"/>
    </row>
    <row r="13" spans="2:13" ht="18">
      <c r="B13" s="6">
        <v>45260</v>
      </c>
      <c r="C13" s="11" t="s">
        <v>24</v>
      </c>
      <c r="D13" s="8" t="s">
        <v>25</v>
      </c>
      <c r="E13" s="17"/>
      <c r="F13" s="9">
        <v>73800</v>
      </c>
      <c r="G13" s="10">
        <v>0.01</v>
      </c>
      <c r="H13" s="9">
        <f>F13*1%</f>
        <v>738</v>
      </c>
      <c r="I13" s="17"/>
      <c r="J13" s="17"/>
      <c r="K13" s="19"/>
      <c r="L13" s="17"/>
      <c r="M13" s="17"/>
    </row>
    <row r="14" spans="2:13" ht="36">
      <c r="B14" s="6">
        <v>45257</v>
      </c>
      <c r="C14" s="7" t="s">
        <v>29</v>
      </c>
      <c r="D14" s="8" t="s">
        <v>30</v>
      </c>
      <c r="E14" s="8" t="s">
        <v>31</v>
      </c>
      <c r="F14" s="9">
        <v>36000</v>
      </c>
      <c r="G14" s="10">
        <v>0.02</v>
      </c>
      <c r="H14" s="9">
        <f>F14*2%</f>
        <v>720</v>
      </c>
      <c r="I14" s="18">
        <v>45264</v>
      </c>
      <c r="J14" s="21">
        <v>35417</v>
      </c>
      <c r="K14" s="19"/>
      <c r="L14" s="21" t="s">
        <v>43</v>
      </c>
      <c r="M14" s="23">
        <f>SUM(H14:H18)</f>
        <v>14700</v>
      </c>
    </row>
    <row r="15" spans="2:13" ht="36">
      <c r="B15" s="6">
        <v>45258</v>
      </c>
      <c r="C15" s="7" t="s">
        <v>32</v>
      </c>
      <c r="D15" s="8" t="s">
        <v>33</v>
      </c>
      <c r="E15" s="16" t="s">
        <v>34</v>
      </c>
      <c r="F15" s="9">
        <v>58200</v>
      </c>
      <c r="G15" s="20">
        <v>0.1</v>
      </c>
      <c r="H15" s="9">
        <f t="shared" ref="H15:H16" si="3">F15*10%</f>
        <v>5820</v>
      </c>
      <c r="I15" s="19"/>
      <c r="J15" s="19"/>
      <c r="K15" s="19"/>
      <c r="L15" s="19"/>
      <c r="M15" s="19"/>
    </row>
    <row r="16" spans="2:13" ht="18">
      <c r="B16" s="6">
        <v>45258</v>
      </c>
      <c r="C16" s="7" t="s">
        <v>35</v>
      </c>
      <c r="D16" s="8" t="s">
        <v>36</v>
      </c>
      <c r="E16" s="17"/>
      <c r="F16" s="9">
        <v>61700</v>
      </c>
      <c r="G16" s="17"/>
      <c r="H16" s="9">
        <f t="shared" si="3"/>
        <v>6170</v>
      </c>
      <c r="I16" s="19"/>
      <c r="J16" s="19"/>
      <c r="K16" s="19"/>
      <c r="L16" s="19"/>
      <c r="M16" s="19"/>
    </row>
    <row r="17" spans="2:13" ht="18">
      <c r="B17" s="6">
        <v>45259</v>
      </c>
      <c r="C17" s="7" t="s">
        <v>37</v>
      </c>
      <c r="D17" s="8" t="s">
        <v>38</v>
      </c>
      <c r="E17" s="16" t="s">
        <v>31</v>
      </c>
      <c r="F17" s="9">
        <v>51000</v>
      </c>
      <c r="G17" s="20">
        <v>0.02</v>
      </c>
      <c r="H17" s="9">
        <f t="shared" ref="H17:H18" si="4">F17*2%</f>
        <v>1020</v>
      </c>
      <c r="I17" s="19"/>
      <c r="J17" s="19"/>
      <c r="K17" s="19"/>
      <c r="L17" s="19"/>
      <c r="M17" s="19"/>
    </row>
    <row r="18" spans="2:13" ht="18">
      <c r="B18" s="6">
        <v>45259</v>
      </c>
      <c r="C18" s="8" t="s">
        <v>39</v>
      </c>
      <c r="D18" s="8" t="s">
        <v>40</v>
      </c>
      <c r="E18" s="17"/>
      <c r="F18" s="9">
        <v>48500</v>
      </c>
      <c r="G18" s="17"/>
      <c r="H18" s="9">
        <f t="shared" si="4"/>
        <v>970</v>
      </c>
      <c r="I18" s="17"/>
      <c r="J18" s="17"/>
      <c r="K18" s="19"/>
      <c r="L18" s="17"/>
      <c r="M18" s="17"/>
    </row>
    <row r="19" spans="2:13" ht="18">
      <c r="B19" s="6">
        <v>45287</v>
      </c>
      <c r="C19" s="7" t="s">
        <v>13</v>
      </c>
      <c r="D19" s="8" t="s">
        <v>14</v>
      </c>
      <c r="E19" s="16" t="s">
        <v>15</v>
      </c>
      <c r="F19" s="9">
        <v>45000</v>
      </c>
      <c r="G19" s="10">
        <v>0.01</v>
      </c>
      <c r="H19" s="9">
        <f>F19*1%</f>
        <v>450</v>
      </c>
      <c r="I19" s="18">
        <v>45294</v>
      </c>
      <c r="J19" s="21">
        <v>64835</v>
      </c>
      <c r="K19" s="19"/>
      <c r="L19" s="21" t="s">
        <v>42</v>
      </c>
      <c r="M19" s="23">
        <f>SUM(H19:H23)</f>
        <v>4556</v>
      </c>
    </row>
    <row r="20" spans="2:13" ht="36">
      <c r="B20" s="6">
        <v>45288</v>
      </c>
      <c r="C20" s="11" t="s">
        <v>16</v>
      </c>
      <c r="D20" s="8" t="s">
        <v>17</v>
      </c>
      <c r="E20" s="17"/>
      <c r="F20" s="9">
        <v>60400</v>
      </c>
      <c r="G20" s="20">
        <v>0.02</v>
      </c>
      <c r="H20" s="9">
        <f t="shared" ref="H20:H22" si="5">F20*2%</f>
        <v>1208</v>
      </c>
      <c r="I20" s="19"/>
      <c r="J20" s="19"/>
      <c r="K20" s="19"/>
      <c r="L20" s="19"/>
      <c r="M20" s="19"/>
    </row>
    <row r="21" spans="2:13" ht="36">
      <c r="B21" s="6">
        <v>45289</v>
      </c>
      <c r="C21" s="7" t="s">
        <v>27</v>
      </c>
      <c r="D21" s="8" t="s">
        <v>28</v>
      </c>
      <c r="E21" s="16" t="s">
        <v>44</v>
      </c>
      <c r="F21" s="9">
        <v>42600</v>
      </c>
      <c r="G21" s="19"/>
      <c r="H21" s="9">
        <f t="shared" si="5"/>
        <v>852</v>
      </c>
      <c r="I21" s="19"/>
      <c r="J21" s="19"/>
      <c r="K21" s="19"/>
      <c r="L21" s="19"/>
      <c r="M21" s="19"/>
    </row>
    <row r="22" spans="2:13" ht="36">
      <c r="B22" s="6">
        <v>45289</v>
      </c>
      <c r="C22" s="11" t="s">
        <v>21</v>
      </c>
      <c r="D22" s="8" t="s">
        <v>22</v>
      </c>
      <c r="E22" s="19"/>
      <c r="F22" s="9">
        <v>65400</v>
      </c>
      <c r="G22" s="17"/>
      <c r="H22" s="9">
        <f t="shared" si="5"/>
        <v>1308</v>
      </c>
      <c r="I22" s="19"/>
      <c r="J22" s="19"/>
      <c r="K22" s="19"/>
      <c r="L22" s="19"/>
      <c r="M22" s="19"/>
    </row>
    <row r="23" spans="2:13" ht="18">
      <c r="B23" s="6">
        <v>45290</v>
      </c>
      <c r="C23" s="11" t="s">
        <v>24</v>
      </c>
      <c r="D23" s="8" t="s">
        <v>25</v>
      </c>
      <c r="E23" s="17"/>
      <c r="F23" s="9">
        <v>73800</v>
      </c>
      <c r="G23" s="10">
        <v>0.01</v>
      </c>
      <c r="H23" s="9">
        <f>F23*1%</f>
        <v>738</v>
      </c>
      <c r="I23" s="17"/>
      <c r="J23" s="17"/>
      <c r="K23" s="19"/>
      <c r="L23" s="17"/>
      <c r="M23" s="17"/>
    </row>
    <row r="24" spans="2:13" ht="36">
      <c r="B24" s="6">
        <v>45287</v>
      </c>
      <c r="C24" s="7" t="s">
        <v>29</v>
      </c>
      <c r="D24" s="8" t="s">
        <v>30</v>
      </c>
      <c r="E24" s="8" t="s">
        <v>31</v>
      </c>
      <c r="F24" s="9">
        <v>34500</v>
      </c>
      <c r="G24" s="10">
        <v>0.02</v>
      </c>
      <c r="H24" s="9">
        <f>F24*2%</f>
        <v>690</v>
      </c>
      <c r="I24" s="18">
        <v>45294</v>
      </c>
      <c r="J24" s="22" t="s">
        <v>41</v>
      </c>
      <c r="K24" s="19"/>
      <c r="L24" s="21" t="s">
        <v>43</v>
      </c>
      <c r="M24" s="23">
        <f>SUM(H24:H28)</f>
        <v>14870</v>
      </c>
    </row>
    <row r="25" spans="2:13" ht="36">
      <c r="B25" s="6">
        <v>45288</v>
      </c>
      <c r="C25" s="7" t="s">
        <v>32</v>
      </c>
      <c r="D25" s="8" t="s">
        <v>33</v>
      </c>
      <c r="E25" s="16" t="s">
        <v>34</v>
      </c>
      <c r="F25" s="9">
        <v>65200</v>
      </c>
      <c r="G25" s="20">
        <v>0.1</v>
      </c>
      <c r="H25" s="9">
        <f t="shared" ref="H25:H26" si="6">F25*10%</f>
        <v>6520</v>
      </c>
      <c r="I25" s="19"/>
      <c r="J25" s="19"/>
      <c r="K25" s="19"/>
      <c r="L25" s="19"/>
      <c r="M25" s="19"/>
    </row>
    <row r="26" spans="2:13" ht="18">
      <c r="B26" s="6">
        <v>45288</v>
      </c>
      <c r="C26" s="7" t="s">
        <v>35</v>
      </c>
      <c r="D26" s="8" t="s">
        <v>36</v>
      </c>
      <c r="E26" s="17"/>
      <c r="F26" s="9">
        <v>58700</v>
      </c>
      <c r="G26" s="17"/>
      <c r="H26" s="9">
        <f t="shared" si="6"/>
        <v>5870</v>
      </c>
      <c r="I26" s="19"/>
      <c r="J26" s="19"/>
      <c r="K26" s="19"/>
      <c r="L26" s="19"/>
      <c r="M26" s="19"/>
    </row>
    <row r="27" spans="2:13" ht="18">
      <c r="B27" s="6">
        <v>45289</v>
      </c>
      <c r="C27" s="7" t="s">
        <v>37</v>
      </c>
      <c r="D27" s="8" t="s">
        <v>38</v>
      </c>
      <c r="E27" s="16" t="s">
        <v>31</v>
      </c>
      <c r="F27" s="9">
        <v>41000</v>
      </c>
      <c r="G27" s="20">
        <v>0.02</v>
      </c>
      <c r="H27" s="9">
        <f t="shared" ref="H27:H28" si="7">F27*2%</f>
        <v>820</v>
      </c>
      <c r="I27" s="19"/>
      <c r="J27" s="19"/>
      <c r="K27" s="19"/>
      <c r="L27" s="19"/>
      <c r="M27" s="19"/>
    </row>
    <row r="28" spans="2:13" ht="18">
      <c r="B28" s="6">
        <v>45289</v>
      </c>
      <c r="C28" s="8" t="s">
        <v>39</v>
      </c>
      <c r="D28" s="8" t="s">
        <v>40</v>
      </c>
      <c r="E28" s="17"/>
      <c r="F28" s="9">
        <v>48500</v>
      </c>
      <c r="G28" s="17"/>
      <c r="H28" s="9">
        <f t="shared" si="7"/>
        <v>970</v>
      </c>
      <c r="I28" s="17"/>
      <c r="J28" s="17"/>
      <c r="K28" s="17"/>
      <c r="L28" s="17"/>
      <c r="M28" s="17"/>
    </row>
    <row r="29" spans="2:13" ht="18.5" thickBot="1">
      <c r="F29" s="14">
        <f>SUM(F4:F28)</f>
        <v>1360100</v>
      </c>
      <c r="G29" s="15"/>
      <c r="H29" s="14">
        <f>SUM(H4:H28)</f>
        <v>43142</v>
      </c>
    </row>
    <row r="30" spans="2:13" ht="15" customHeight="1" thickTop="1"/>
  </sheetData>
  <mergeCells count="38">
    <mergeCell ref="E9:E10"/>
    <mergeCell ref="E11:E13"/>
    <mergeCell ref="I14:I18"/>
    <mergeCell ref="J14:J18"/>
    <mergeCell ref="E15:E16"/>
    <mergeCell ref="G15:G16"/>
    <mergeCell ref="E17:E18"/>
    <mergeCell ref="G17:G18"/>
    <mergeCell ref="J9:J13"/>
    <mergeCell ref="E25:E26"/>
    <mergeCell ref="G25:G26"/>
    <mergeCell ref="E27:E28"/>
    <mergeCell ref="G27:G28"/>
    <mergeCell ref="B1:M1"/>
    <mergeCell ref="J4:J8"/>
    <mergeCell ref="K4:K28"/>
    <mergeCell ref="L4:L13"/>
    <mergeCell ref="G5:G7"/>
    <mergeCell ref="G10:G12"/>
    <mergeCell ref="M19:M23"/>
    <mergeCell ref="E4:E5"/>
    <mergeCell ref="E6:E8"/>
    <mergeCell ref="I4:I8"/>
    <mergeCell ref="I9:I13"/>
    <mergeCell ref="M4:M8"/>
    <mergeCell ref="I24:I28"/>
    <mergeCell ref="J24:J28"/>
    <mergeCell ref="L24:L28"/>
    <mergeCell ref="M24:M28"/>
    <mergeCell ref="M9:M13"/>
    <mergeCell ref="L14:L18"/>
    <mergeCell ref="M14:M18"/>
    <mergeCell ref="L19:L23"/>
    <mergeCell ref="E19:E20"/>
    <mergeCell ref="I19:I23"/>
    <mergeCell ref="G20:G22"/>
    <mergeCell ref="E21:E23"/>
    <mergeCell ref="J19:J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 Finprov</dc:creator>
  <cp:lastModifiedBy>student-011</cp:lastModifiedBy>
  <dcterms:created xsi:type="dcterms:W3CDTF">2015-06-05T18:17:20Z</dcterms:created>
  <dcterms:modified xsi:type="dcterms:W3CDTF">2026-05-08T06:55:14Z</dcterms:modified>
</cp:coreProperties>
</file>